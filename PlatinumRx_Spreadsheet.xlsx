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arshitha\Downloads\"/>
    </mc:Choice>
  </mc:AlternateContent>
  <xr:revisionPtr revIDLastSave="0" documentId="13_ncr:1_{AA77E701-000A-4653-B0CF-2590E1FB503D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ticket" sheetId="1" r:id="rId1"/>
    <sheet name="feedbacks" sheetId="2" r:id="rId2"/>
    <sheet name="outlet_analysis" sheetId="3" r:id="rId3"/>
    <sheet name="formula_guide" sheetId="4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" i="4" l="1"/>
  <c r="B5" i="3"/>
  <c r="B4" i="3"/>
  <c r="B3" i="3"/>
  <c r="B6" i="3" s="1"/>
  <c r="D8" i="2"/>
  <c r="D7" i="2"/>
  <c r="D6" i="2"/>
  <c r="D5" i="2"/>
  <c r="D4" i="2"/>
  <c r="D3" i="2"/>
  <c r="D2" i="2"/>
  <c r="I9" i="1"/>
  <c r="H9" i="1"/>
  <c r="I8" i="1"/>
  <c r="H8" i="1"/>
  <c r="I7" i="1"/>
  <c r="H7" i="1"/>
  <c r="I6" i="1"/>
  <c r="H6" i="1"/>
  <c r="I5" i="1"/>
  <c r="E4" i="3" s="1"/>
  <c r="F4" i="3" s="1"/>
  <c r="H5" i="1"/>
  <c r="C4" i="3" s="1"/>
  <c r="D4" i="3" s="1"/>
  <c r="I4" i="1"/>
  <c r="H4" i="1"/>
  <c r="I3" i="1"/>
  <c r="E3" i="3" s="1"/>
  <c r="H3" i="1"/>
  <c r="C3" i="3" s="1"/>
  <c r="I2" i="1"/>
  <c r="E5" i="3" s="1"/>
  <c r="F5" i="3" s="1"/>
  <c r="H2" i="1"/>
  <c r="C5" i="3" s="1"/>
  <c r="D5" i="3" s="1"/>
  <c r="F3" i="3" l="1"/>
  <c r="E6" i="3"/>
  <c r="F6" i="3" s="1"/>
  <c r="D3" i="3"/>
  <c r="C6" i="3"/>
  <c r="D6" i="3" s="1"/>
</calcChain>
</file>

<file path=xl/sharedStrings.xml><?xml version="1.0" encoding="utf-8"?>
<sst xmlns="http://schemas.openxmlformats.org/spreadsheetml/2006/main" count="97" uniqueCount="79">
  <si>
    <t>ticket_id</t>
  </si>
  <si>
    <t>created_at</t>
  </si>
  <si>
    <t>closed_at</t>
  </si>
  <si>
    <t>outlet_id</t>
  </si>
  <si>
    <t>cms_id</t>
  </si>
  <si>
    <t>Same Day?</t>
  </si>
  <si>
    <t>Same Hour?</t>
  </si>
  <si>
    <t>isu-sjd-457</t>
  </si>
  <si>
    <t>2021-08-19 16:45:43</t>
  </si>
  <si>
    <t>2021-08-22 12:33:32</t>
  </si>
  <si>
    <t>wrqy-juv-978</t>
  </si>
  <si>
    <t>vew-iuvd-12</t>
  </si>
  <si>
    <t>qer-fal-092</t>
  </si>
  <si>
    <t>2021-08-21 11:09:22</t>
  </si>
  <si>
    <t>2021-08-21 17:13:45</t>
  </si>
  <si>
    <t>8woh-k3u-23b</t>
  </si>
  <si>
    <t>mno-pqr-101</t>
  </si>
  <si>
    <t>2021-08-19 09:15:00</t>
  </si>
  <si>
    <t>2021-08-19 09:55:00</t>
  </si>
  <si>
    <t>cms-zzz-001</t>
  </si>
  <si>
    <t>abc-def-202</t>
  </si>
  <si>
    <t>2021-08-20 14:00:00</t>
  </si>
  <si>
    <t>2021-08-20 14:45:00</t>
  </si>
  <si>
    <t>lmno-xyz-111</t>
  </si>
  <si>
    <t>cms-aaa-002</t>
  </si>
  <si>
    <t>xyz-uvw-303</t>
  </si>
  <si>
    <t>2021-08-21 11:59:00</t>
  </si>
  <si>
    <t>cms-bbb-003</t>
  </si>
  <si>
    <t>ppp-qqq-404</t>
  </si>
  <si>
    <t>2021-08-22 08:30:00</t>
  </si>
  <si>
    <t>2021-08-23 09:00:00</t>
  </si>
  <si>
    <t>cms-ccc-004</t>
  </si>
  <si>
    <t>rrr-sss-505</t>
  </si>
  <si>
    <t>2021-08-19 16:45:00</t>
  </si>
  <si>
    <t>2021-08-19 16:55:00</t>
  </si>
  <si>
    <t>cms-ddd-005</t>
  </si>
  <si>
    <t>ttt-uuu-606</t>
  </si>
  <si>
    <t>2021-08-23 10:00:00</t>
  </si>
  <si>
    <t>2021-08-24 10:00:00</t>
  </si>
  <si>
    <t>cms-eee-006</t>
  </si>
  <si>
    <t>feedback_at</t>
  </si>
  <si>
    <t>feedback_rating</t>
  </si>
  <si>
    <t>ticket_created_at</t>
  </si>
  <si>
    <t>2021-08-21 13:26:48</t>
  </si>
  <si>
    <t>📌 D column uses INDEX-MATCH against ticket!E:B</t>
  </si>
  <si>
    <t>2021-08-20 09:00:00</t>
  </si>
  <si>
    <t>2021-08-21 08:00:00</t>
  </si>
  <si>
    <t>2021-08-22 10:00:00</t>
  </si>
  <si>
    <t>2021-08-23 07:00:00</t>
  </si>
  <si>
    <t>2021-08-20 17:00:00</t>
  </si>
  <si>
    <t>2021-08-24 11:00:00</t>
  </si>
  <si>
    <t>Outlet-wise Ticket Analysis</t>
  </si>
  <si>
    <t>Total Tickets</t>
  </si>
  <si>
    <t>Created &amp; Closed
Same Day</t>
  </si>
  <si>
    <t>Same Day
%</t>
  </si>
  <si>
    <t>Created &amp; Closed
Same Hour</t>
  </si>
  <si>
    <t>Same Hour
%</t>
  </si>
  <si>
    <t>TOTAL</t>
  </si>
  <si>
    <t>ℹ️  Same Day = ticket created &amp; closed on the same calendar date  |  Same Hour = same date AND same clock-hour</t>
  </si>
  <si>
    <t>Formula Reference Guide</t>
  </si>
  <si>
    <t>Purpose</t>
  </si>
  <si>
    <t>Sheet / Column</t>
  </si>
  <si>
    <t>Formula Used</t>
  </si>
  <si>
    <t>Populate ticket_created_at
in feedbacks</t>
  </si>
  <si>
    <t>feedbacks → col D</t>
  </si>
  <si>
    <t>Flag: same calendar day?</t>
  </si>
  <si>
    <t>ticket → col H</t>
  </si>
  <si>
    <t>Flag: same clock hour?</t>
  </si>
  <si>
    <t>ticket → col I</t>
  </si>
  <si>
    <t>IF(AND(same-date-check, MID(B2,12,2)=MID(C2,12,2)), "YES", "NO")</t>
  </si>
  <si>
    <t>Count tickets per outlet
(same day)</t>
  </si>
  <si>
    <t>outlet_analysis → col C</t>
  </si>
  <si>
    <t>COUNTIFS(ticket!$D:$D, A3, ticket!$H:$H, "YES")</t>
  </si>
  <si>
    <t>Count tickets per outlet
(same hour)</t>
  </si>
  <si>
    <t>outlet_analysis → col E</t>
  </si>
  <si>
    <t>COUNTIFS(ticket!$D:$D, A3, ticket!$I:$I, "YES")</t>
  </si>
  <si>
    <t>Same-day %</t>
  </si>
  <si>
    <t>outlet_analysis → col D</t>
  </si>
  <si>
    <t>IFERROR(C3/B3, 0)  [formatted as 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</si>
</sst>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7B3F00"/>
      <name val="Arial"/>
      <charset val="1"/>
    </font>
    <font>
      <i/>
      <sz val="9"/>
      <color rgb="FF555555"/>
      <name val="Arial"/>
      <charset val="1"/>
    </font>
    <font>
      <b/>
      <sz val="14"/>
      <color rgb="FFFFFFFF"/>
      <name val="Arial"/>
      <charset val="1"/>
    </font>
    <font>
      <b/>
      <sz val="10"/>
      <name val="Arial"/>
      <charset val="1"/>
    </font>
    <font>
      <i/>
      <sz val="9"/>
      <color rgb="FF444444"/>
      <name val="Arial"/>
      <charset val="1"/>
    </font>
    <font>
      <sz val="9"/>
      <color rgb="FF1F4E79"/>
      <name val="Courier New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1E5C3A"/>
      </patternFill>
    </fill>
    <fill>
      <patternFill patternType="solid">
        <fgColor rgb="FF1E5C3A"/>
        <bgColor rgb="FF1F4E79"/>
      </patternFill>
    </fill>
    <fill>
      <patternFill patternType="solid">
        <fgColor rgb="FFD6E4F0"/>
        <bgColor rgb="FFE8DAEF"/>
      </patternFill>
    </fill>
    <fill>
      <patternFill patternType="solid">
        <fgColor rgb="FFD5F5E3"/>
        <bgColor rgb="FFD6E4F0"/>
      </patternFill>
    </fill>
    <fill>
      <patternFill patternType="solid">
        <fgColor rgb="FFFFFFFF"/>
        <bgColor rgb="FFF0FFF4"/>
      </patternFill>
    </fill>
    <fill>
      <patternFill patternType="solid">
        <fgColor rgb="FFF0FFF4"/>
        <bgColor rgb="FFFFFFFF"/>
      </patternFill>
    </fill>
    <fill>
      <patternFill patternType="solid">
        <fgColor rgb="FFFFF9C4"/>
        <bgColor rgb="FFFFFF99"/>
      </patternFill>
    </fill>
    <fill>
      <patternFill patternType="solid">
        <fgColor rgb="FF3B1F79"/>
        <bgColor rgb="FF444444"/>
      </patternFill>
    </fill>
    <fill>
      <patternFill patternType="solid">
        <fgColor rgb="FFE8DAEF"/>
        <bgColor rgb="FFD6E4F0"/>
      </patternFill>
    </fill>
    <fill>
      <patternFill patternType="solid">
        <fgColor rgb="FF7B3F00"/>
        <bgColor rgb="FF444444"/>
      </patternFill>
    </fill>
    <fill>
      <patternFill patternType="solid">
        <fgColor rgb="FFFAE5D3"/>
        <bgColor rgb="FFE8DAE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6" fillId="11" borderId="0" xfId="0" applyFont="1" applyFill="1" applyAlignment="1">
      <alignment horizontal="center" vertical="center"/>
    </xf>
    <xf numFmtId="0" fontId="8" fillId="0" borderId="0" xfId="0" applyFont="1"/>
    <xf numFmtId="0" fontId="6" fillId="9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5" fillId="0" borderId="0" xfId="0" applyFont="1"/>
    <xf numFmtId="0" fontId="1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164" fontId="3" fillId="10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vertical="center" wrapText="1"/>
    </xf>
    <xf numFmtId="0" fontId="9" fillId="12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5C3A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F0FFF4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5F5E3"/>
      <rgbColor rgb="FFFFFF99"/>
      <rgbColor rgb="FF99CCFF"/>
      <rgbColor rgb="FFFF99CC"/>
      <rgbColor rgb="FFCC99FF"/>
      <rgbColor rgb="FFFAE5D3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1F4E79"/>
      <rgbColor rgb="FF339966"/>
      <rgbColor rgb="FF003300"/>
      <rgbColor rgb="FF333300"/>
      <rgbColor rgb="FF7B3F00"/>
      <rgbColor rgb="FF993366"/>
      <rgbColor rgb="FF3B1F7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zoomScaleNormal="100" workbookViewId="0">
      <selection activeCell="A13" sqref="A13"/>
    </sheetView>
  </sheetViews>
  <sheetFormatPr defaultColWidth="8.6640625" defaultRowHeight="14.4" x14ac:dyDescent="0.3"/>
  <cols>
    <col min="1" max="1" width="18" customWidth="1"/>
    <col min="2" max="3" width="22" customWidth="1"/>
    <col min="4" max="4" width="18" customWidth="1"/>
    <col min="5" max="5" width="15" customWidth="1"/>
    <col min="6" max="6" width="4" customWidth="1"/>
    <col min="7" max="7" width="4.21875" customWidth="1"/>
    <col min="8" max="9" width="13" customWidth="1"/>
  </cols>
  <sheetData>
    <row r="1" spans="1:9" ht="31.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H1" s="5" t="s">
        <v>5</v>
      </c>
      <c r="I1" s="5" t="s">
        <v>6</v>
      </c>
    </row>
    <row r="2" spans="1:9" ht="15" customHeight="1" x14ac:dyDescent="0.3">
      <c r="A2" s="6" t="s">
        <v>7</v>
      </c>
      <c r="B2" s="6" t="s">
        <v>8</v>
      </c>
      <c r="C2" s="6" t="s">
        <v>9</v>
      </c>
      <c r="D2" s="6" t="s">
        <v>10</v>
      </c>
      <c r="E2" s="6" t="s">
        <v>11</v>
      </c>
      <c r="H2" s="7" t="str">
        <f t="shared" ref="H2:H9" si="0">IF(AND(B2&lt;&gt;"",C2&lt;&gt;""),IF(INT(DATEVALUE(LEFT(B2,10)))=INT(DATEVALUE(LEFT(C2,10))),"YES","NO"),"")</f>
        <v>NO</v>
      </c>
      <c r="I2" s="7" t="str">
        <f t="shared" ref="I2:I9" si="1">IF(AND(B2&lt;&gt;"",C2&lt;&gt;""),IF(AND(INT(DATEVALUE(LEFT(B2,10)))=INT(DATEVALUE(LEFT(C2,10))),MID(B2,12,2)=MID(C2,12,2)),"YES","NO"),"")</f>
        <v>NO</v>
      </c>
    </row>
    <row r="3" spans="1:9" ht="15" customHeight="1" x14ac:dyDescent="0.3">
      <c r="A3" s="8" t="s">
        <v>12</v>
      </c>
      <c r="B3" s="8" t="s">
        <v>13</v>
      </c>
      <c r="C3" s="8" t="s">
        <v>14</v>
      </c>
      <c r="D3" s="8" t="s">
        <v>15</v>
      </c>
      <c r="E3" s="8"/>
      <c r="H3" s="9" t="str">
        <f t="shared" si="0"/>
        <v>YES</v>
      </c>
      <c r="I3" s="9" t="str">
        <f t="shared" si="1"/>
        <v>NO</v>
      </c>
    </row>
    <row r="4" spans="1:9" ht="15" customHeight="1" x14ac:dyDescent="0.3">
      <c r="A4" s="6" t="s">
        <v>16</v>
      </c>
      <c r="B4" s="6" t="s">
        <v>17</v>
      </c>
      <c r="C4" s="6" t="s">
        <v>18</v>
      </c>
      <c r="D4" s="6" t="s">
        <v>10</v>
      </c>
      <c r="E4" s="6" t="s">
        <v>19</v>
      </c>
      <c r="H4" s="7" t="str">
        <f t="shared" si="0"/>
        <v>YES</v>
      </c>
      <c r="I4" s="7" t="str">
        <f t="shared" si="1"/>
        <v>YES</v>
      </c>
    </row>
    <row r="5" spans="1:9" ht="15" customHeight="1" x14ac:dyDescent="0.3">
      <c r="A5" s="8" t="s">
        <v>20</v>
      </c>
      <c r="B5" s="8" t="s">
        <v>21</v>
      </c>
      <c r="C5" s="8" t="s">
        <v>22</v>
      </c>
      <c r="D5" s="8" t="s">
        <v>23</v>
      </c>
      <c r="E5" s="8" t="s">
        <v>24</v>
      </c>
      <c r="H5" s="9" t="str">
        <f t="shared" si="0"/>
        <v>YES</v>
      </c>
      <c r="I5" s="9" t="str">
        <f t="shared" si="1"/>
        <v>YES</v>
      </c>
    </row>
    <row r="6" spans="1:9" ht="15" customHeight="1" x14ac:dyDescent="0.3">
      <c r="A6" s="6" t="s">
        <v>25</v>
      </c>
      <c r="B6" s="6" t="s">
        <v>13</v>
      </c>
      <c r="C6" s="6" t="s">
        <v>26</v>
      </c>
      <c r="D6" s="6" t="s">
        <v>15</v>
      </c>
      <c r="E6" s="6" t="s">
        <v>27</v>
      </c>
      <c r="H6" s="7" t="str">
        <f t="shared" si="0"/>
        <v>YES</v>
      </c>
      <c r="I6" s="7" t="str">
        <f t="shared" si="1"/>
        <v>YES</v>
      </c>
    </row>
    <row r="7" spans="1:9" ht="15" customHeight="1" x14ac:dyDescent="0.3">
      <c r="A7" s="8" t="s">
        <v>28</v>
      </c>
      <c r="B7" s="8" t="s">
        <v>29</v>
      </c>
      <c r="C7" s="8" t="s">
        <v>30</v>
      </c>
      <c r="D7" s="8" t="s">
        <v>10</v>
      </c>
      <c r="E7" s="8" t="s">
        <v>31</v>
      </c>
      <c r="H7" s="9" t="str">
        <f t="shared" si="0"/>
        <v>NO</v>
      </c>
      <c r="I7" s="9" t="str">
        <f t="shared" si="1"/>
        <v>NO</v>
      </c>
    </row>
    <row r="8" spans="1:9" ht="15" customHeight="1" x14ac:dyDescent="0.3">
      <c r="A8" s="6" t="s">
        <v>32</v>
      </c>
      <c r="B8" s="6" t="s">
        <v>33</v>
      </c>
      <c r="C8" s="6" t="s">
        <v>34</v>
      </c>
      <c r="D8" s="6" t="s">
        <v>23</v>
      </c>
      <c r="E8" s="6" t="s">
        <v>35</v>
      </c>
      <c r="H8" s="7" t="str">
        <f t="shared" si="0"/>
        <v>YES</v>
      </c>
      <c r="I8" s="7" t="str">
        <f t="shared" si="1"/>
        <v>YES</v>
      </c>
    </row>
    <row r="9" spans="1:9" ht="15" customHeight="1" x14ac:dyDescent="0.3">
      <c r="A9" s="8" t="s">
        <v>36</v>
      </c>
      <c r="B9" s="8" t="s">
        <v>37</v>
      </c>
      <c r="C9" s="8" t="s">
        <v>38</v>
      </c>
      <c r="D9" s="8" t="s">
        <v>15</v>
      </c>
      <c r="E9" s="8" t="s">
        <v>39</v>
      </c>
      <c r="H9" s="9" t="str">
        <f t="shared" si="0"/>
        <v>NO</v>
      </c>
      <c r="I9" s="9" t="str">
        <f t="shared" si="1"/>
        <v>NO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zoomScaleNormal="100" workbookViewId="0">
      <selection activeCell="C7" sqref="C7"/>
    </sheetView>
  </sheetViews>
  <sheetFormatPr defaultColWidth="8.6640625" defaultRowHeight="14.4" x14ac:dyDescent="0.3"/>
  <cols>
    <col min="1" max="1" width="15" customWidth="1"/>
    <col min="2" max="2" width="22" customWidth="1"/>
    <col min="3" max="3" width="17" customWidth="1"/>
    <col min="4" max="4" width="22" customWidth="1"/>
    <col min="5" max="5" width="4" customWidth="1"/>
    <col min="6" max="6" width="45" customWidth="1"/>
  </cols>
  <sheetData>
    <row r="1" spans="1:6" ht="31.5" customHeight="1" x14ac:dyDescent="0.3">
      <c r="A1" s="10" t="s">
        <v>4</v>
      </c>
      <c r="B1" s="10" t="s">
        <v>40</v>
      </c>
      <c r="C1" s="10" t="s">
        <v>41</v>
      </c>
      <c r="D1" s="10" t="s">
        <v>42</v>
      </c>
    </row>
    <row r="2" spans="1:6" ht="15" customHeight="1" x14ac:dyDescent="0.3">
      <c r="A2" s="11" t="s">
        <v>11</v>
      </c>
      <c r="B2" s="11" t="s">
        <v>43</v>
      </c>
      <c r="C2" s="11">
        <v>3</v>
      </c>
      <c r="D2" s="12" t="str">
        <f>IFERROR(INDEX(ticket!$B:$B,MATCH(A2,ticket!$E:$E,0)),"")</f>
        <v>2021-08-19 16:45:43</v>
      </c>
      <c r="F2" s="13" t="s">
        <v>44</v>
      </c>
    </row>
    <row r="3" spans="1:6" ht="15" customHeight="1" x14ac:dyDescent="0.3">
      <c r="A3" s="8" t="s">
        <v>19</v>
      </c>
      <c r="B3" s="8" t="s">
        <v>45</v>
      </c>
      <c r="C3" s="8">
        <v>5</v>
      </c>
      <c r="D3" s="12" t="str">
        <f>IFERROR(INDEX(ticket!$B:$B,MATCH(A3,ticket!$E:$E,0)),"")</f>
        <v>2021-08-19 09:15:00</v>
      </c>
    </row>
    <row r="4" spans="1:6" ht="15" customHeight="1" x14ac:dyDescent="0.3">
      <c r="A4" s="11" t="s">
        <v>24</v>
      </c>
      <c r="B4" s="11" t="s">
        <v>46</v>
      </c>
      <c r="C4" s="11">
        <v>4</v>
      </c>
      <c r="D4" s="12" t="str">
        <f>IFERROR(INDEX(ticket!$B:$B,MATCH(A4,ticket!$E:$E,0)),"")</f>
        <v>2021-08-20 14:00:00</v>
      </c>
    </row>
    <row r="5" spans="1:6" ht="15" customHeight="1" x14ac:dyDescent="0.3">
      <c r="A5" s="8" t="s">
        <v>27</v>
      </c>
      <c r="B5" s="8" t="s">
        <v>47</v>
      </c>
      <c r="C5" s="8">
        <v>2</v>
      </c>
      <c r="D5" s="12" t="str">
        <f>IFERROR(INDEX(ticket!$B:$B,MATCH(A5,ticket!$E:$E,0)),"")</f>
        <v>2021-08-21 11:09:22</v>
      </c>
    </row>
    <row r="6" spans="1:6" ht="15" customHeight="1" x14ac:dyDescent="0.3">
      <c r="A6" s="11" t="s">
        <v>31</v>
      </c>
      <c r="B6" s="11" t="s">
        <v>48</v>
      </c>
      <c r="C6" s="11">
        <v>5</v>
      </c>
      <c r="D6" s="12" t="str">
        <f>IFERROR(INDEX(ticket!$B:$B,MATCH(A6,ticket!$E:$E,0)),"")</f>
        <v>2021-08-22 08:30:00</v>
      </c>
    </row>
    <row r="7" spans="1:6" ht="15" customHeight="1" x14ac:dyDescent="0.3">
      <c r="A7" s="8" t="s">
        <v>35</v>
      </c>
      <c r="B7" s="8" t="s">
        <v>49</v>
      </c>
      <c r="C7" s="8">
        <v>3</v>
      </c>
      <c r="D7" s="12" t="str">
        <f>IFERROR(INDEX(ticket!$B:$B,MATCH(A7,ticket!$E:$E,0)),"")</f>
        <v>2021-08-19 16:45:00</v>
      </c>
    </row>
    <row r="8" spans="1:6" ht="15" customHeight="1" x14ac:dyDescent="0.3">
      <c r="A8" s="11" t="s">
        <v>39</v>
      </c>
      <c r="B8" s="11" t="s">
        <v>50</v>
      </c>
      <c r="C8" s="11">
        <v>4</v>
      </c>
      <c r="D8" s="12" t="str">
        <f>IFERROR(INDEX(ticket!$B:$B,MATCH(A8,ticket!$E:$E,0)),"")</f>
        <v>2021-08-23 10:00:00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zoomScaleNormal="100" workbookViewId="0">
      <selection activeCell="C14" sqref="C14"/>
    </sheetView>
  </sheetViews>
  <sheetFormatPr defaultColWidth="8.6640625" defaultRowHeight="14.4" x14ac:dyDescent="0.3"/>
  <cols>
    <col min="1" max="1" width="20" customWidth="1"/>
    <col min="2" max="2" width="14" customWidth="1"/>
    <col min="3" max="3" width="20" customWidth="1"/>
    <col min="4" max="4" width="13" customWidth="1"/>
    <col min="5" max="5" width="20" customWidth="1"/>
    <col min="6" max="6" width="13" customWidth="1"/>
  </cols>
  <sheetData>
    <row r="1" spans="1:6" ht="18" customHeight="1" x14ac:dyDescent="0.3">
      <c r="A1" s="3" t="s">
        <v>51</v>
      </c>
      <c r="B1" s="3"/>
      <c r="C1" s="3"/>
      <c r="D1" s="3"/>
      <c r="E1" s="3"/>
      <c r="F1" s="3"/>
    </row>
    <row r="2" spans="1:6" ht="39.75" customHeight="1" x14ac:dyDescent="0.3">
      <c r="A2" s="14" t="s">
        <v>3</v>
      </c>
      <c r="B2" s="14" t="s">
        <v>52</v>
      </c>
      <c r="C2" s="14" t="s">
        <v>53</v>
      </c>
      <c r="D2" s="14" t="s">
        <v>54</v>
      </c>
      <c r="E2" s="14" t="s">
        <v>55</v>
      </c>
      <c r="F2" s="14" t="s">
        <v>56</v>
      </c>
    </row>
    <row r="3" spans="1:6" ht="15" customHeight="1" x14ac:dyDescent="0.3">
      <c r="A3" s="15" t="s">
        <v>15</v>
      </c>
      <c r="B3" s="16">
        <f>COUNTIF(ticket!$D:$D,A3)</f>
        <v>3</v>
      </c>
      <c r="C3" s="16">
        <f>COUNTIFS(ticket!$D:$D,A3,ticket!$H:$H,"YES")</f>
        <v>2</v>
      </c>
      <c r="D3" s="17">
        <f>IFERROR(C3/B3,0)</f>
        <v>0.66666666666666663</v>
      </c>
      <c r="E3" s="16">
        <f>COUNTIFS(ticket!$D:$D,A3,ticket!$I:$I,"YES")</f>
        <v>1</v>
      </c>
      <c r="F3" s="17">
        <f>IFERROR(E3/B3,0)</f>
        <v>0.33333333333333331</v>
      </c>
    </row>
    <row r="4" spans="1:6" ht="15" customHeight="1" x14ac:dyDescent="0.3">
      <c r="A4" s="18" t="s">
        <v>23</v>
      </c>
      <c r="B4" s="19">
        <f>COUNTIF(ticket!$D:$D,A4)</f>
        <v>2</v>
      </c>
      <c r="C4" s="19">
        <f>COUNTIFS(ticket!$D:$D,A4,ticket!$H:$H,"YES")</f>
        <v>2</v>
      </c>
      <c r="D4" s="20">
        <f>IFERROR(C4/B4,0)</f>
        <v>1</v>
      </c>
      <c r="E4" s="19">
        <f>COUNTIFS(ticket!$D:$D,A4,ticket!$I:$I,"YES")</f>
        <v>2</v>
      </c>
      <c r="F4" s="20">
        <f>IFERROR(E4/B4,0)</f>
        <v>1</v>
      </c>
    </row>
    <row r="5" spans="1:6" ht="15" customHeight="1" x14ac:dyDescent="0.3">
      <c r="A5" s="15" t="s">
        <v>10</v>
      </c>
      <c r="B5" s="16">
        <f>COUNTIF(ticket!$D:$D,A5)</f>
        <v>3</v>
      </c>
      <c r="C5" s="16">
        <f>COUNTIFS(ticket!$D:$D,A5,ticket!$H:$H,"YES")</f>
        <v>1</v>
      </c>
      <c r="D5" s="17">
        <f>IFERROR(C5/B5,0)</f>
        <v>0.33333333333333331</v>
      </c>
      <c r="E5" s="16">
        <f>COUNTIFS(ticket!$D:$D,A5,ticket!$I:$I,"YES")</f>
        <v>1</v>
      </c>
      <c r="F5" s="17">
        <f>IFERROR(E5/B5,0)</f>
        <v>0.33333333333333331</v>
      </c>
    </row>
    <row r="6" spans="1:6" ht="15" customHeight="1" x14ac:dyDescent="0.3">
      <c r="A6" s="21" t="s">
        <v>57</v>
      </c>
      <c r="B6" s="21">
        <f>SUM(B3:B5)</f>
        <v>8</v>
      </c>
      <c r="C6" s="21">
        <f>SUM(C3:C5)</f>
        <v>5</v>
      </c>
      <c r="D6" s="22">
        <f>IFERROR(C6/B6,0)</f>
        <v>0.625</v>
      </c>
      <c r="E6" s="21">
        <f>SUM(E3:E5)</f>
        <v>4</v>
      </c>
      <c r="F6" s="22">
        <f>IFERROR(E6/B6,0)</f>
        <v>0.5</v>
      </c>
    </row>
    <row r="8" spans="1:6" ht="15" customHeight="1" x14ac:dyDescent="0.3">
      <c r="A8" s="2" t="s">
        <v>58</v>
      </c>
      <c r="B8" s="2"/>
      <c r="C8" s="2"/>
      <c r="D8" s="2"/>
      <c r="E8" s="2"/>
      <c r="F8" s="2"/>
    </row>
  </sheetData>
  <mergeCells count="2">
    <mergeCell ref="A1:F1"/>
    <mergeCell ref="A8:F8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tabSelected="1" zoomScaleNormal="100" workbookViewId="0">
      <selection activeCell="B14" sqref="B14"/>
    </sheetView>
  </sheetViews>
  <sheetFormatPr defaultColWidth="8.6640625" defaultRowHeight="14.4" x14ac:dyDescent="0.3"/>
  <cols>
    <col min="1" max="1" width="30" customWidth="1"/>
    <col min="2" max="2" width="25" customWidth="1"/>
    <col min="3" max="3" width="70" customWidth="1"/>
  </cols>
  <sheetData>
    <row r="1" spans="1:3" ht="27.75" customHeight="1" x14ac:dyDescent="0.3">
      <c r="A1" s="1" t="s">
        <v>59</v>
      </c>
      <c r="B1" s="1"/>
      <c r="C1" s="1"/>
    </row>
    <row r="2" spans="1:3" ht="15" customHeight="1" x14ac:dyDescent="0.3">
      <c r="A2" s="23" t="s">
        <v>60</v>
      </c>
      <c r="B2" s="23" t="s">
        <v>61</v>
      </c>
      <c r="C2" s="23" t="s">
        <v>62</v>
      </c>
    </row>
    <row r="3" spans="1:3" ht="42" customHeight="1" x14ac:dyDescent="0.3">
      <c r="A3" s="24" t="s">
        <v>63</v>
      </c>
      <c r="B3" s="24" t="s">
        <v>64</v>
      </c>
      <c r="C3" s="25" t="str">
        <f>IFERROR(INDEX(ticket!$B:$B, MATCH(A2, ticket!$E:$E, 0)), "")</f>
        <v/>
      </c>
    </row>
    <row r="4" spans="1:3" ht="42" customHeight="1" x14ac:dyDescent="0.3">
      <c r="A4" s="26" t="s">
        <v>65</v>
      </c>
      <c r="B4" s="26" t="s">
        <v>66</v>
      </c>
      <c r="C4" s="27"/>
    </row>
    <row r="5" spans="1:3" ht="42" customHeight="1" x14ac:dyDescent="0.3">
      <c r="A5" s="24" t="s">
        <v>67</v>
      </c>
      <c r="B5" s="24" t="s">
        <v>68</v>
      </c>
      <c r="C5" s="25" t="s">
        <v>69</v>
      </c>
    </row>
    <row r="6" spans="1:3" ht="42" customHeight="1" x14ac:dyDescent="0.3">
      <c r="A6" s="26" t="s">
        <v>70</v>
      </c>
      <c r="B6" s="26" t="s">
        <v>71</v>
      </c>
      <c r="C6" s="27" t="s">
        <v>72</v>
      </c>
    </row>
    <row r="7" spans="1:3" ht="42" customHeight="1" x14ac:dyDescent="0.3">
      <c r="A7" s="24" t="s">
        <v>73</v>
      </c>
      <c r="B7" s="24" t="s">
        <v>74</v>
      </c>
      <c r="C7" s="25" t="s">
        <v>75</v>
      </c>
    </row>
    <row r="8" spans="1:3" ht="42" customHeight="1" x14ac:dyDescent="0.3">
      <c r="A8" s="26" t="s">
        <v>76</v>
      </c>
      <c r="B8" s="26" t="s">
        <v>77</v>
      </c>
      <c r="C8" s="27" t="s">
        <v>78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ticket</vt:lpstr>
      <vt:lpstr>feedbacks</vt:lpstr>
      <vt:lpstr>outlet_analysis</vt:lpstr>
      <vt:lpstr>formula_guide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varshitha vaddireddy</cp:lastModifiedBy>
  <cp:revision>0</cp:revision>
  <dcterms:created xsi:type="dcterms:W3CDTF">2026-04-08T18:40:24Z</dcterms:created>
  <dcterms:modified xsi:type="dcterms:W3CDTF">2026-04-08T18:57:03Z</dcterms:modified>
  <dc:language>en-US</dc:language>
</cp:coreProperties>
</file>